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19d2f7518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8faacaf89bf7434e"/>
    <x:sheet xmlns:r="http://schemas.openxmlformats.org/officeDocument/2006/relationships" name="Task_Dashboard_Data" sheetId="2" r:id="R9b300e2c1dc24037"/>
    <x:sheet xmlns:r="http://schemas.openxmlformats.org/officeDocument/2006/relationships" name="Status_Summary" sheetId="3" r:id="Red047585bc7648e9"/>
    <x:sheet xmlns:r="http://schemas.openxmlformats.org/officeDocument/2006/relationships" name="Process_Funnel" sheetId="4" r:id="R854107528e7b4d31"/>
    <x:sheet xmlns:r="http://schemas.openxmlformats.org/officeDocument/2006/relationships" name="Run_Trend" sheetId="5" r:id="Rb8ff9329763e49e9"/>
    <x:sheet xmlns:r="http://schemas.openxmlformats.org/officeDocument/2006/relationships" name="Project_Alerts" sheetId="6" r:id="Rdb493396a916441f"/>
    <x:sheet xmlns:r="http://schemas.openxmlformats.org/officeDocument/2006/relationships" name="Metric_Definitions" sheetId="7" r:id="R922a934246ae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22"/>
      <x:color rgb="FF0F172A"/>
      <x:name val="Carlito"/>
    </x:font>
    <x:font>
      <x:b/>
      <x:sz val="18"/>
      <x:color rgb="FF0F172A"/>
      <x:name val="Carlito"/>
    </x:font>
    <x:font>
      <x:b/>
      <x:sz val="14"/>
      <x:color rgb="FFFFFFFF"/>
      <x:name val="Carlito"/>
    </x:font>
    <x:font>
      <x:sz val="11"/>
      <x:color rgb="FF0F17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E3A5F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2" fillId="9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1cf301a404939" /><Relationship Type="http://schemas.openxmlformats.org/officeDocument/2006/relationships/theme" Target="/xl/theme/theme1.xml" Id="R7118e1537ede484c" /><Relationship Type="http://schemas.openxmlformats.org/officeDocument/2006/relationships/sharedStrings" Target="/xl/sharedStrings.xml" Id="Reff83e9fa8a14a81" /><Relationship Type="http://schemas.openxmlformats.org/officeDocument/2006/relationships/worksheet" Target="/xl/worksheets/sheet1.xml" Id="R8faacaf89bf7434e" /><Relationship Type="http://schemas.openxmlformats.org/officeDocument/2006/relationships/worksheet" Target="/xl/worksheets/sheet2.xml" Id="R9b300e2c1dc24037" /><Relationship Type="http://schemas.openxmlformats.org/officeDocument/2006/relationships/worksheet" Target="/xl/worksheets/sheet3.xml" Id="Red047585bc7648e9" /><Relationship Type="http://schemas.openxmlformats.org/officeDocument/2006/relationships/worksheet" Target="/xl/worksheets/sheet4.xml" Id="R854107528e7b4d31" /><Relationship Type="http://schemas.openxmlformats.org/officeDocument/2006/relationships/worksheet" Target="/xl/worksheets/sheet5.xml" Id="Rb8ff9329763e49e9" /><Relationship Type="http://schemas.openxmlformats.org/officeDocument/2006/relationships/worksheet" Target="/xl/worksheets/sheet6.xml" Id="Rdb493396a916441f" /><Relationship Type="http://schemas.openxmlformats.org/officeDocument/2006/relationships/worksheet" Target="/xl/worksheets/sheet7.xml" Id="R922a934246ae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a354eb14b14c86" /><Relationship Type="http://schemas.openxmlformats.org/officeDocument/2006/relationships/chart" Target="/xl/drawings/charts/chart2.xml" Id="R670b7247bef44f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Структура поручений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task_count</c:v>
          </c:tx>
          <c:cat>
            <c:strRef>
              <c:f>'Status_Summary'!$A$4:$A$9</c:f>
              <c:strCache>
                <c:ptCount val="0"/>
              </c:strCache>
            </c:strRef>
          </c:cat>
          <c:val>
            <c:numRef>
              <c:f>'Status_Summary'!$B$4:$B$9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Due Soon и Overdue по проектам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due_soon</c:v>
          </c:tx>
          <c:cat>
            <c:strRef>
              <c:f>'Project_Alerts'!$A$4:$A$8</c:f>
              <c:strCache>
                <c:ptCount val="0"/>
              </c:strCache>
            </c:strRef>
          </c:cat>
          <c:val>
            <c:numRef>
              <c:f>'Project_Alerts'!$B$4:$B$8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overdue</c:v>
          </c:tx>
          <c:cat>
            <c:strRef>
              <c:f>'Project_Alerts'!$A$4:$A$8</c:f>
              <c:strCache>
                <c:ptCount val="0"/>
              </c:strCache>
            </c:strRef>
          </c:cat>
          <c:val>
            <c:numRef>
              <c:f>'Project_Alerts'!$C$4:$C$8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a354eb14b14c86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0b7247bef44fc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28e8df34e54e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AI PMO · Автономный контур поручений L-09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13" t="str">
        <x:v>Протокол → SK-18 → SK-12 → SK-14 → SK-13 → закрытие / доработка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>
      <x:c r="A4" s="21" t="str">
        <x:v>ВСЕГО ПОРУЧЕНИЙ</x:v>
      </x:c>
      <x:c r="B4" s="21"/>
      <x:c r="C4" s="21" t="str">
        <x:v>АКТИВНЫЕ</x:v>
      </x:c>
      <x:c r="D4" s="21"/>
      <x:c r="E4" s="21" t="str">
        <x:v>СКОРО СРОК</x:v>
      </x:c>
      <x:c r="F4" s="21"/>
      <x:c r="G4" s="21" t="str">
        <x:v>ПРОСРОЧЕНО</x:v>
      </x:c>
      <x:c r="H4" s="21"/>
      <x:c r="I4" s="21" t="str">
        <x:v>НА ПРОВЕРКЕ</x:v>
      </x:c>
      <x:c r="J4" s="21"/>
      <x:c r="K4" s="21" t="str">
        <x:v>ДОРАБОТКА</x:v>
      </x:c>
      <x:c r="L4" s="21"/>
      <x:c r="M4" s="21" t="str">
        <x:v>ЗАКРЫТО</x:v>
      </x:c>
      <x:c r="N4" s="21"/>
    </x:row>
    <x:row r="5">
      <x:c r="A5" s="29" t="n">
        <x:f>SUM(Task_Dashboard_Data!$D$4:$D$8)</x:f>
        <x:v>0</x:v>
      </x:c>
      <x:c r="B5" s="29"/>
      <x:c r="C5" s="29" t="n">
        <x:f>SUM(Task_Dashboard_Data!$E$4:$E$8)</x:f>
        <x:v>0</x:v>
      </x:c>
      <x:c r="D5" s="29"/>
      <x:c r="E5" s="37" t="n">
        <x:f>SUM(Task_Dashboard_Data!$F$4:$F$8)</x:f>
        <x:v>0</x:v>
      </x:c>
      <x:c r="F5" s="37"/>
      <x:c r="G5" s="45" t="n">
        <x:f>SUM(Task_Dashboard_Data!$G$4:$G$8)</x:f>
        <x:v>0</x:v>
      </x:c>
      <x:c r="H5" s="45"/>
      <x:c r="I5" s="29" t="n">
        <x:f>SUM(Task_Dashboard_Data!$H$4:$H$8)</x:f>
        <x:v>0</x:v>
      </x:c>
      <x:c r="J5" s="29"/>
      <x:c r="K5" s="37" t="n">
        <x:f>SUM(Task_Dashboard_Data!$I$4:$I$8)</x:f>
        <x:v>0</x:v>
      </x:c>
      <x:c r="L5" s="37"/>
      <x:c r="M5" s="53" t="n">
        <x:f>SUM(Task_Dashboard_Data!$J$4:$J$8)</x:f>
        <x:v>0</x:v>
      </x:c>
      <x:c r="N5" s="53"/>
    </x:row>
    <x:row r="6">
      <x:c r="A6" s="29"/>
      <x:c r="B6" s="29"/>
      <x:c r="C6" s="29"/>
      <x:c r="D6" s="29"/>
      <x:c r="E6" s="37"/>
      <x:c r="F6" s="37"/>
      <x:c r="G6" s="45"/>
      <x:c r="H6" s="45"/>
      <x:c r="I6" s="29"/>
      <x:c r="J6" s="29"/>
      <x:c r="K6" s="37"/>
      <x:c r="L6" s="37"/>
      <x:c r="M6" s="53"/>
      <x:c r="N6" s="53"/>
    </x:row>
    <x:row r="8">
      <x:c r="A8" s="19" t="str">
        <x:v>Прогресс автономного цикла</x:v>
      </x:c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</x:row>
    <x:row r="9">
      <x:c r="A9" s="60" t="str">
        <x:v>Источники</x:v>
      </x:c>
      <x:c r="B9" s="60"/>
      <x:c r="C9" s="60" t="str">
        <x:v>Поручения</x:v>
      </x:c>
      <x:c r="D9" s="60"/>
      <x:c r="E9" s="60" t="str">
        <x:v>Зарегистрировано</x:v>
      </x:c>
      <x:c r="F9" s="60"/>
      <x:c r="G9" s="60" t="str">
        <x:v>Результаты</x:v>
      </x:c>
      <x:c r="H9" s="60"/>
      <x:c r="I9" s="60" t="str">
        <x:v>Принято</x:v>
      </x:c>
      <x:c r="J9" s="60"/>
      <x:c r="K9" s="60" t="str">
        <x:v>Доработка</x:v>
      </x:c>
      <x:c r="L9" s="60"/>
      <x:c r="M9" s="60" t="str">
        <x:v>Закрыто</x:v>
      </x:c>
      <x:c r="N9" s="60"/>
    </x:row>
    <x:row r="10">
      <x:c r="A10" s="67" t="n">
        <x:f>Process_Funnel!B4</x:f>
        <x:v>0</x:v>
      </x:c>
      <x:c r="B10" s="67"/>
      <x:c r="C10" s="67" t="n">
        <x:f>Process_Funnel!B5</x:f>
        <x:v>0</x:v>
      </x:c>
      <x:c r="D10" s="67"/>
      <x:c r="E10" s="67" t="n">
        <x:f>Process_Funnel!B6</x:f>
        <x:v>0</x:v>
      </x:c>
      <x:c r="F10" s="67"/>
      <x:c r="G10" s="67" t="n">
        <x:f>Process_Funnel!B7</x:f>
        <x:v>0</x:v>
      </x:c>
      <x:c r="H10" s="67"/>
      <x:c r="I10" s="67" t="n">
        <x:f>Process_Funnel!B8</x:f>
        <x:v>0</x:v>
      </x:c>
      <x:c r="J10" s="67"/>
      <x:c r="K10" s="67" t="n">
        <x:f>Process_Funnel!B9</x:f>
        <x:v>0</x:v>
      </x:c>
      <x:c r="L10" s="67"/>
      <x:c r="M10" s="67" t="n">
        <x:f>Process_Funnel!B10</x:f>
        <x:v>0</x:v>
      </x:c>
      <x:c r="N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</x:row>
    <x:row r="13">
      <x:c r="A13" s="19" t="str">
        <x:v>Критичные поручения</x:v>
      </x:c>
      <x:c r="B13" s="19"/>
      <x:c r="C13" s="19"/>
      <x:c r="D13" s="19"/>
      <x:c r="E13" s="19"/>
      <x:c r="F13" s="19"/>
      <x:c r="G13" s="19"/>
      <x:c r="H13" s="19" t="str">
        <x:v>Последние действия агента</x:v>
      </x:c>
      <x:c r="I13" s="19"/>
      <x:c r="J13" s="19"/>
      <x:c r="K13" s="19"/>
      <x:c r="L13" s="19"/>
      <x:c r="M13" s="19"/>
      <x:c r="N13" s="19"/>
    </x:row>
    <x:row r="14">
      <x:c r="A14" s="72" t="str">
        <x:v>Task ID</x:v>
      </x:c>
      <x:c r="B14" s="72" t="str">
        <x:v>Поручение</x:v>
      </x:c>
      <x:c r="C14" s="72" t="str">
        <x:v>Ответственный</x:v>
      </x:c>
      <x:c r="D14" s="72" t="str">
        <x:v>Срок</x:v>
      </x:c>
      <x:c r="E14" s="72" t="str">
        <x:v>Состояние</x:v>
      </x:c>
      <x:c r="F14" s="72" t="str">
        <x:v>Эскалация</x:v>
      </x:c>
      <x:c r="G14" s="72" t="str">
        <x:v>Следующее действие</x:v>
      </x:c>
      <x:c r="H14" s="72" t="str">
        <x:v>Время</x:v>
      </x:c>
      <x:c r="I14" s="72" t="str">
        <x:v>Run</x:v>
      </x:c>
      <x:c r="J14" s="72" t="str">
        <x:v>Skill</x:v>
      </x:c>
      <x:c r="K14" s="72" t="str">
        <x:v>Действие</x:v>
      </x:c>
      <x:c r="L14" s="72" t="str">
        <x:v>Объект</x:v>
      </x:c>
      <x:c r="M14" s="72" t="str">
        <x:v>Статус</x:v>
      </x:c>
      <x:c r="N14" s="72" t="str">
        <x:v>Детали</x:v>
      </x:c>
    </x:row>
    <x:row r="15">
      <x:c r="A15" s="74" t="str">
        <x:v>—</x:v>
      </x:c>
      <x:c r="B15" s="74" t="str">
        <x:v>После первого запуска здесь появятся Due Soon / Overdue</x:v>
      </x:c>
      <x:c r="C15" s="74" t="str">
        <x:v>—</x:v>
      </x:c>
      <x:c r="D15" s="74" t="str">
        <x:v>—</x:v>
      </x:c>
      <x:c r="E15" s="74" t="str">
        <x:v>—</x:v>
      </x:c>
      <x:c r="F15" s="74" t="str">
        <x:v>—</x:v>
      </x:c>
      <x:c r="G15" s="74" t="str">
        <x:v>—</x:v>
      </x:c>
      <x:c r="H15" s="74" t="str">
        <x:v>—</x:v>
      </x:c>
      <x:c r="I15" s="74" t="str">
        <x:v>—</x:v>
      </x:c>
      <x:c r="J15" s="74" t="str">
        <x:v>—</x:v>
      </x:c>
      <x:c r="K15" s="74" t="str">
        <x:v>Ожидается первый проход</x:v>
      </x:c>
      <x:c r="L15" s="74" t="str">
        <x:v>—</x:v>
      </x:c>
      <x:c r="M15" s="74" t="str">
        <x:v>—</x:v>
      </x:c>
      <x:c r="N15" s="74" t="str">
        <x:v>—</x:v>
      </x:c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</x:sheetData>
  <x:mergeCells>
    <x:mergeCell ref="A1:N2"/>
    <x:mergeCell ref="A3:N3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M4:N4"/>
    <x:mergeCell ref="M5:N6"/>
    <x:mergeCell ref="A8:N8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I9:J9"/>
    <x:mergeCell ref="I10:J11"/>
    <x:mergeCell ref="K9:L9"/>
    <x:mergeCell ref="K10:L11"/>
    <x:mergeCell ref="M9:N9"/>
    <x:mergeCell ref="M10:N11"/>
    <x:mergeCell ref="A13:G13"/>
    <x:mergeCell ref="H13:N13"/>
  </x:mergeCells>
  <x:pageMargins left="0.7" right="0.7" top="0.75" bottom="0.75" header="0.3" footer="0.3"/>
  <x:drawing xmlns:r="http://schemas.openxmlformats.org/officeDocument/2006/relationships" r:id="Rb028e8df34e54e38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2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20" hidden="0" customWidth="1"/>
    <x:col min="10" max="10" width="14" hidden="0" customWidth="1"/>
    <x:col min="11" max="11" width="18" hidden="0" customWidth="1"/>
    <x:col min="12" max="12" width="20" hidden="0" customWidth="1"/>
    <x:col min="13" max="13" width="20" hidden="0" customWidth="1"/>
  </x:cols>
  <x:sheetData>
    <x:row r="1" ht="30" customHeight="1">
      <x:c r="A1" s="77" t="str">
        <x:v>Агрегированные показатели по проектам.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</x:row>
    <x:row r="3" ht="34" customHeight="1">
      <x:c r="A3" s="82" t="str">
        <x:v>project_id</x:v>
      </x:c>
      <x:c r="B3" s="82" t="str">
        <x:v>project_name</x:v>
      </x:c>
      <x:c r="C3" s="82" t="str">
        <x:v>total_candidates</x:v>
      </x:c>
      <x:c r="D3" s="82" t="str">
        <x:v>total_tasks</x:v>
      </x:c>
      <x:c r="E3" s="82" t="str">
        <x:v>active_tasks</x:v>
      </x:c>
      <x:c r="F3" s="82" t="str">
        <x:v>due_soon</x:v>
      </x:c>
      <x:c r="G3" s="82" t="str">
        <x:v>overdue</x:v>
      </x:c>
      <x:c r="H3" s="82" t="str">
        <x:v>validating</x:v>
      </x:c>
      <x:c r="I3" s="82" t="str">
        <x:v>rework_required</x:v>
      </x:c>
      <x:c r="J3" s="82" t="str">
        <x:v>closed</x:v>
      </x:c>
      <x:c r="K3" s="82" t="str">
        <x:v>data_as_of</x:v>
      </x:c>
      <x:c r="L3" s="82" t="str">
        <x:v>source_updated_at</x:v>
      </x:c>
      <x:c r="M3" s="82" t="str">
        <x:v>dashboard_status</x:v>
      </x:c>
    </x:row>
    <x:row r="4">
      <x:c r="A4" s="88" t="str">
        <x:v>P-001</x:v>
      </x:c>
      <x:c r="B4" s="88" t="str">
        <x:v>Омниканальный цифровой онбординг</x:v>
      </x:c>
      <x:c r="C4" s="88" t="n">
        <x:v>0</x:v>
      </x:c>
      <x:c r="D4" s="88" t="n">
        <x:v>0</x:v>
      </x:c>
      <x:c r="E4" s="88" t="n">
        <x:v>0</x:v>
      </x:c>
      <x:c r="F4" s="88" t="n">
        <x:v>0</x:v>
      </x:c>
      <x:c r="G4" s="88" t="n">
        <x:v>0</x:v>
      </x:c>
      <x:c r="H4" s="88" t="n">
        <x:v>0</x:v>
      </x:c>
      <x:c r="I4" s="88" t="n">
        <x:v>0</x:v>
      </x:c>
      <x:c r="J4" s="88" t="n">
        <x:v>0</x:v>
      </x:c>
      <x:c r="K4" s="88"/>
      <x:c r="L4" s="88"/>
      <x:c r="M4" s="88" t="str">
        <x:v>Ready</x:v>
      </x:c>
    </x:row>
    <x:row r="5">
      <x:c r="A5" s="88" t="str">
        <x:v>P-002</x:v>
      </x:c>
      <x:c r="B5" s="88" t="str">
        <x:v>Единый клиентский риск-профиль</x:v>
      </x:c>
      <x:c r="C5" s="88" t="n">
        <x:v>0</x:v>
      </x:c>
      <x:c r="D5" s="88" t="n">
        <x:v>0</x:v>
      </x:c>
      <x:c r="E5" s="88" t="n">
        <x:v>0</x:v>
      </x:c>
      <x:c r="F5" s="88" t="n">
        <x:v>0</x:v>
      </x:c>
      <x:c r="G5" s="88" t="n">
        <x:v>0</x:v>
      </x:c>
      <x:c r="H5" s="88" t="n">
        <x:v>0</x:v>
      </x:c>
      <x:c r="I5" s="88" t="n">
        <x:v>0</x:v>
      </x:c>
      <x:c r="J5" s="88" t="n">
        <x:v>0</x:v>
      </x:c>
      <x:c r="K5" s="88"/>
      <x:c r="L5" s="88"/>
      <x:c r="M5" s="88" t="str">
        <x:v>Ready</x:v>
      </x:c>
    </x:row>
    <x:row r="6">
      <x:c r="A6" s="88" t="str">
        <x:v>P-003</x:v>
      </x:c>
      <x:c r="B6" s="88" t="str">
        <x:v>AI PMO для программы трансформации</x:v>
      </x:c>
      <x:c r="C6" s="88" t="n">
        <x:v>0</x:v>
      </x:c>
      <x:c r="D6" s="88" t="n">
        <x:v>0</x:v>
      </x:c>
      <x:c r="E6" s="88" t="n">
        <x:v>0</x:v>
      </x:c>
      <x:c r="F6" s="88" t="n">
        <x:v>0</x:v>
      </x:c>
      <x:c r="G6" s="88" t="n">
        <x:v>0</x:v>
      </x:c>
      <x:c r="H6" s="88" t="n">
        <x:v>0</x:v>
      </x:c>
      <x:c r="I6" s="88" t="n">
        <x:v>0</x:v>
      </x:c>
      <x:c r="J6" s="88" t="n">
        <x:v>0</x:v>
      </x:c>
      <x:c r="K6" s="88"/>
      <x:c r="L6" s="88"/>
      <x:c r="M6" s="88" t="str">
        <x:v>Ready</x:v>
      </x:c>
    </x:row>
    <x:row r="7">
      <x:c r="A7" s="88" t="str">
        <x:v>P-004</x:v>
      </x:c>
      <x:c r="B7" s="88" t="str">
        <x:v>Цифровой конвейер корпоративного кредитования</x:v>
      </x:c>
      <x:c r="C7" s="88" t="n">
        <x:v>0</x:v>
      </x:c>
      <x:c r="D7" s="88" t="n">
        <x:v>0</x:v>
      </x:c>
      <x:c r="E7" s="88" t="n">
        <x:v>0</x:v>
      </x:c>
      <x:c r="F7" s="88" t="n">
        <x:v>0</x:v>
      </x:c>
      <x:c r="G7" s="88" t="n">
        <x:v>0</x:v>
      </x:c>
      <x:c r="H7" s="88" t="n">
        <x:v>0</x:v>
      </x:c>
      <x:c r="I7" s="88" t="n">
        <x:v>0</x:v>
      </x:c>
      <x:c r="J7" s="88" t="n">
        <x:v>0</x:v>
      </x:c>
      <x:c r="K7" s="88"/>
      <x:c r="L7" s="88"/>
      <x:c r="M7" s="88" t="str">
        <x:v>Ready</x:v>
      </x:c>
    </x:row>
    <x:row r="8">
      <x:c r="A8" s="88" t="str">
        <x:v>P-005</x:v>
      </x:c>
      <x:c r="B8" s="88" t="str">
        <x:v>Платформа качества мастер-данных</x:v>
      </x:c>
      <x:c r="C8" s="88" t="n">
        <x:v>0</x:v>
      </x:c>
      <x:c r="D8" s="88" t="n">
        <x:v>0</x:v>
      </x:c>
      <x:c r="E8" s="88" t="n">
        <x:v>0</x:v>
      </x:c>
      <x:c r="F8" s="88" t="n">
        <x:v>0</x:v>
      </x:c>
      <x:c r="G8" s="88" t="n">
        <x:v>0</x:v>
      </x:c>
      <x:c r="H8" s="88" t="n">
        <x:v>0</x:v>
      </x:c>
      <x:c r="I8" s="88" t="n">
        <x:v>0</x:v>
      </x:c>
      <x:c r="J8" s="88" t="n">
        <x:v>0</x:v>
      </x:c>
      <x:c r="K8" s="88"/>
      <x:c r="L8" s="88"/>
      <x:c r="M8" s="88" t="str">
        <x:v>Ready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4" hidden="0" customWidth="1"/>
  </x:cols>
  <x:sheetData>
    <x:row r="1" ht="30" customHeight="1">
      <x:c r="A1" s="77" t="str">
        <x:v>Распределение поручений по состояниям.</x:v>
      </x:c>
      <x:c r="B1" s="77"/>
      <x:c r="C1" s="77"/>
    </x:row>
    <x:row r="3" ht="34" customHeight="1">
      <x:c r="A3" s="82" t="str">
        <x:v>status</x:v>
      </x:c>
      <x:c r="B3" s="82" t="str">
        <x:v>task_count</x:v>
      </x:c>
      <x:c r="C3" s="82" t="str">
        <x:v>definition</x:v>
      </x:c>
    </x:row>
    <x:row r="4">
      <x:c r="A4" s="88" t="str">
        <x:v>Active</x:v>
      </x:c>
      <x:c r="B4" s="88" t="n">
        <x:f>SUM(Task_Dashboard_Data!E4:E8)</x:f>
        <x:v>0</x:v>
      </x:c>
      <x:c r="C4" s="88" t="str">
        <x:v>Все незакрытые поручения</x:v>
      </x:c>
    </x:row>
    <x:row r="5">
      <x:c r="A5" s="88" t="str">
        <x:v>Due Soon</x:v>
      </x:c>
      <x:c r="B5" s="88" t="n">
        <x:f>SUM(Task_Dashboard_Data!F4:F8)</x:f>
        <x:v>0</x:v>
      </x:c>
      <x:c r="C5" s="88" t="str">
        <x:v>Срок в окне напоминания</x:v>
      </x:c>
    </x:row>
    <x:row r="6">
      <x:c r="A6" s="88" t="str">
        <x:v>Overdue</x:v>
      </x:c>
      <x:c r="B6" s="88" t="n">
        <x:f>SUM(Task_Dashboard_Data!G4:G8)</x:f>
        <x:v>0</x:v>
      </x:c>
      <x:c r="C6" s="88" t="str">
        <x:v>Срок прошёл</x:v>
      </x:c>
    </x:row>
    <x:row r="7">
      <x:c r="A7" s="88" t="str">
        <x:v>Validating</x:v>
      </x:c>
      <x:c r="B7" s="88" t="n">
        <x:f>SUM(Task_Dashboard_Data!H4:H8)</x:f>
        <x:v>0</x:v>
      </x:c>
      <x:c r="C7" s="88" t="str">
        <x:v>Результат проверяется</x:v>
      </x:c>
    </x:row>
    <x:row r="8">
      <x:c r="A8" s="88" t="str">
        <x:v>Rework Required</x:v>
      </x:c>
      <x:c r="B8" s="88" t="n">
        <x:f>SUM(Task_Dashboard_Data!I4:I8)</x:f>
        <x:v>0</x:v>
      </x:c>
      <x:c r="C8" s="88" t="str">
        <x:v>Возвращено на доработку</x:v>
      </x:c>
    </x:row>
    <x:row r="9">
      <x:c r="A9" s="88" t="str">
        <x:v>Closed</x:v>
      </x:c>
      <x:c r="B9" s="88" t="n">
        <x:f>SUM(Task_Dashboard_Data!J4:J8)</x:f>
        <x:v>0</x:v>
      </x:c>
      <x:c r="C9" s="88" t="str">
        <x:v>Закрыто после приёмки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8" hidden="0" customWidth="1"/>
  </x:cols>
  <x:sheetData>
    <x:row r="1" ht="30" customHeight="1">
      <x:c r="A1" s="77" t="str">
        <x:v>Сквозной прогресс L-09.</x:v>
      </x:c>
      <x:c r="B1" s="77"/>
      <x:c r="C1" s="77"/>
    </x:row>
    <x:row r="3" ht="34" customHeight="1">
      <x:c r="A3" s="82" t="str">
        <x:v>stage</x:v>
      </x:c>
      <x:c r="B3" s="82" t="str">
        <x:v>value</x:v>
      </x:c>
      <x:c r="C3" s="82" t="str">
        <x:v>description</x:v>
      </x:c>
    </x:row>
    <x:row r="4">
      <x:c r="A4" s="88" t="str">
        <x:v>Sources Processed</x:v>
      </x:c>
      <x:c r="B4" s="88" t="n">
        <x:v>0</x:v>
      </x:c>
      <x:c r="C4" s="88" t="str">
        <x:v>Обработанные протоколы</x:v>
      </x:c>
    </x:row>
    <x:row r="5">
      <x:c r="A5" s="88" t="str">
        <x:v>Assignments Found</x:v>
      </x:c>
      <x:c r="B5" s="88" t="n">
        <x:v>0</x:v>
      </x:c>
      <x:c r="C5" s="88" t="str">
        <x:v>Извлечённые Assignment</x:v>
      </x:c>
    </x:row>
    <x:row r="6">
      <x:c r="A6" s="88" t="str">
        <x:v>Tasks Registered</x:v>
      </x:c>
      <x:c r="B6" s="88" t="n">
        <x:v>0</x:v>
      </x:c>
      <x:c r="C6" s="88" t="str">
        <x:v>Созданные поручения</x:v>
      </x:c>
    </x:row>
    <x:row r="7">
      <x:c r="A7" s="88" t="str">
        <x:v>Results Checked</x:v>
      </x:c>
      <x:c r="B7" s="88" t="n">
        <x:v>0</x:v>
      </x:c>
      <x:c r="C7" s="88" t="str">
        <x:v>Проверенные результаты</x:v>
      </x:c>
    </x:row>
    <x:row r="8">
      <x:c r="A8" s="88" t="str">
        <x:v>Accepted</x:v>
      </x:c>
      <x:c r="B8" s="88" t="n">
        <x:v>0</x:v>
      </x:c>
      <x:c r="C8" s="88" t="str">
        <x:v>Принятые результаты</x:v>
      </x:c>
    </x:row>
    <x:row r="9">
      <x:c r="A9" s="88" t="str">
        <x:v>Rework Required</x:v>
      </x:c>
      <x:c r="B9" s="88" t="n">
        <x:v>0</x:v>
      </x:c>
      <x:c r="C9" s="88" t="str">
        <x:v>Возвраты на доработку</x:v>
      </x:c>
    </x:row>
    <x:row r="10">
      <x:c r="A10" s="88" t="str">
        <x:v>Closed</x:v>
      </x:c>
      <x:c r="B10" s="88" t="n">
        <x:v>0</x:v>
      </x:c>
      <x:c r="C10" s="88" t="str">
        <x:v>Автоматически закрытые поручения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7" t="str">
        <x:v>Динамика показателей по проходам.</x:v>
      </x:c>
      <x:c r="B1" s="77"/>
      <x:c r="C1" s="77"/>
      <x:c r="D1" s="77"/>
      <x:c r="E1" s="77"/>
      <x:c r="F1" s="77"/>
      <x:c r="G1" s="77"/>
      <x:c r="H1" s="77"/>
    </x:row>
    <x:row r="3" ht="34" customHeight="1">
      <x:c r="A3" s="82" t="str">
        <x:v>run_number</x:v>
      </x:c>
      <x:c r="B3" s="82" t="str">
        <x:v>virtual_date</x:v>
      </x:c>
      <x:c r="C3" s="82" t="str">
        <x:v>tasks_registered</x:v>
      </x:c>
      <x:c r="D3" s="82" t="str">
        <x:v>due_soon</x:v>
      </x:c>
      <x:c r="E3" s="82" t="str">
        <x:v>overdue</x:v>
      </x:c>
      <x:c r="F3" s="82" t="str">
        <x:v>accepted</x:v>
      </x:c>
      <x:c r="G3" s="82" t="str">
        <x:v>rework_required</x:v>
      </x:c>
      <x:c r="H3" s="82" t="str">
        <x:v>closed</x:v>
      </x:c>
    </x:row>
    <x:row r="4">
      <x:c r="A4" s="88" t="n">
        <x:v>1</x:v>
      </x:c>
      <x:c r="B4" s="88"/>
      <x:c r="C4" s="88" t="n">
        <x:v>0</x:v>
      </x:c>
      <x:c r="D4" s="88" t="n">
        <x:v>0</x:v>
      </x:c>
      <x:c r="E4" s="88" t="n">
        <x:v>0</x:v>
      </x:c>
      <x:c r="F4" s="88" t="n">
        <x:v>0</x:v>
      </x:c>
      <x:c r="G4" s="88" t="n">
        <x:v>0</x:v>
      </x:c>
      <x:c r="H4" s="88" t="n">
        <x:v>0</x:v>
      </x:c>
    </x:row>
    <x:row r="5">
      <x:c r="A5" s="88" t="n">
        <x:v>2</x:v>
      </x:c>
      <x:c r="B5" s="88"/>
      <x:c r="C5" s="88" t="n">
        <x:v>0</x:v>
      </x:c>
      <x:c r="D5" s="88" t="n">
        <x:v>0</x:v>
      </x:c>
      <x:c r="E5" s="88" t="n">
        <x:v>0</x:v>
      </x:c>
      <x:c r="F5" s="88" t="n">
        <x:v>0</x:v>
      </x:c>
      <x:c r="G5" s="88" t="n">
        <x:v>0</x:v>
      </x:c>
      <x:c r="H5" s="88" t="n">
        <x:v>0</x:v>
      </x:c>
    </x:row>
    <x:row r="6">
      <x:c r="A6" s="88" t="n">
        <x:v>3</x:v>
      </x:c>
      <x:c r="B6" s="88"/>
      <x:c r="C6" s="88" t="n">
        <x:v>0</x:v>
      </x:c>
      <x:c r="D6" s="88" t="n">
        <x:v>0</x:v>
      </x:c>
      <x:c r="E6" s="88" t="n">
        <x:v>0</x:v>
      </x:c>
      <x:c r="F6" s="88" t="n">
        <x:v>0</x:v>
      </x:c>
      <x:c r="G6" s="88" t="n">
        <x:v>0</x:v>
      </x:c>
      <x:c r="H6" s="88" t="n">
        <x:v>0</x:v>
      </x:c>
    </x:row>
    <x:row r="7">
      <x:c r="A7" s="88" t="n">
        <x:v>4</x:v>
      </x:c>
      <x:c r="B7" s="88"/>
      <x:c r="C7" s="88" t="n">
        <x:v>0</x:v>
      </x:c>
      <x:c r="D7" s="88" t="n">
        <x:v>0</x:v>
      </x:c>
      <x:c r="E7" s="88" t="n">
        <x:v>0</x:v>
      </x:c>
      <x:c r="F7" s="88" t="n">
        <x:v>0</x:v>
      </x:c>
      <x:c r="G7" s="88" t="n">
        <x:v>0</x:v>
      </x:c>
      <x:c r="H7" s="88" t="n">
        <x:v>0</x:v>
      </x:c>
    </x:row>
    <x:row r="8">
      <x:c r="A8" s="88" t="n">
        <x:v>5</x:v>
      </x:c>
      <x:c r="B8" s="88"/>
      <x:c r="C8" s="88" t="n">
        <x:v>0</x:v>
      </x:c>
      <x:c r="D8" s="88" t="n">
        <x:v>0</x:v>
      </x:c>
      <x:c r="E8" s="88" t="n">
        <x:v>0</x:v>
      </x:c>
      <x:c r="F8" s="88" t="n">
        <x:v>0</x:v>
      </x:c>
      <x:c r="G8" s="88" t="n">
        <x:v>0</x:v>
      </x:c>
      <x:c r="H8" s="88" t="n">
        <x:v>0</x:v>
      </x:c>
    </x:row>
    <x:row r="9">
      <x:c r="A9" s="88" t="n">
        <x:v>6</x:v>
      </x:c>
      <x:c r="B9" s="88"/>
      <x:c r="C9" s="88" t="n">
        <x:v>0</x:v>
      </x:c>
      <x:c r="D9" s="88" t="n">
        <x:v>0</x:v>
      </x:c>
      <x:c r="E9" s="88" t="n">
        <x:v>0</x:v>
      </x:c>
      <x:c r="F9" s="88" t="n">
        <x:v>0</x:v>
      </x:c>
      <x:c r="G9" s="88" t="n">
        <x:v>0</x:v>
      </x:c>
      <x:c r="H9" s="88" t="n">
        <x:v>0</x:v>
      </x:c>
    </x:row>
    <x:row r="10">
      <x:c r="A10" s="88" t="n">
        <x:v>7</x:v>
      </x:c>
      <x:c r="B10" s="88"/>
      <x:c r="C10" s="88" t="n">
        <x:v>0</x:v>
      </x:c>
      <x:c r="D10" s="88" t="n">
        <x:v>0</x:v>
      </x:c>
      <x:c r="E10" s="88" t="n">
        <x:v>0</x:v>
      </x:c>
      <x:c r="F10" s="88" t="n">
        <x:v>0</x:v>
      </x:c>
      <x:c r="G10" s="88" t="n">
        <x:v>0</x:v>
      </x:c>
      <x:c r="H10" s="88" t="n">
        <x:v>0</x:v>
      </x:c>
    </x:row>
    <x:row r="11">
      <x:c r="A11" s="88" t="n">
        <x:v>8</x:v>
      </x:c>
      <x:c r="B11" s="88"/>
      <x:c r="C11" s="88" t="n">
        <x:v>0</x:v>
      </x:c>
      <x:c r="D11" s="88" t="n">
        <x:v>0</x:v>
      </x:c>
      <x:c r="E11" s="88" t="n">
        <x:v>0</x:v>
      </x:c>
      <x:c r="F11" s="88" t="n">
        <x:v>0</x:v>
      </x:c>
      <x:c r="G11" s="88" t="n">
        <x:v>0</x:v>
      </x:c>
      <x:c r="H11" s="88" t="n">
        <x:v>0</x:v>
      </x:c>
    </x:row>
    <x:row r="12">
      <x:c r="A12" s="88" t="n">
        <x:v>9</x:v>
      </x:c>
      <x:c r="B12" s="88"/>
      <x:c r="C12" s="88" t="n">
        <x:v>0</x:v>
      </x:c>
      <x:c r="D12" s="88" t="n">
        <x:v>0</x:v>
      </x:c>
      <x:c r="E12" s="88" t="n">
        <x:v>0</x:v>
      </x:c>
      <x:c r="F12" s="88" t="n">
        <x:v>0</x:v>
      </x:c>
      <x:c r="G12" s="88" t="n">
        <x:v>0</x:v>
      </x:c>
      <x:c r="H12" s="88" t="n">
        <x:v>0</x:v>
      </x:c>
    </x:row>
    <x:row r="13">
      <x:c r="A13" s="88" t="n">
        <x:v>10</x:v>
      </x:c>
      <x:c r="B13" s="88"/>
      <x:c r="C13" s="88" t="n">
        <x:v>0</x:v>
      </x:c>
      <x:c r="D13" s="88" t="n">
        <x:v>0</x:v>
      </x:c>
      <x:c r="E13" s="88" t="n">
        <x:v>0</x:v>
      </x:c>
      <x:c r="F13" s="88" t="n">
        <x:v>0</x:v>
      </x:c>
      <x:c r="G13" s="88" t="n">
        <x:v>0</x:v>
      </x:c>
      <x:c r="H13" s="88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16" hidden="0" customWidth="1"/>
  </x:cols>
  <x:sheetData>
    <x:row r="1" ht="30" customHeight="1">
      <x:c r="A1" s="77" t="str">
        <x:v>Поручения в зоне внимания по проектам.</x:v>
      </x:c>
      <x:c r="B1" s="77"/>
      <x:c r="C1" s="77"/>
    </x:row>
    <x:row r="3" ht="34" customHeight="1">
      <x:c r="A3" s="82" t="str">
        <x:v>project_name</x:v>
      </x:c>
      <x:c r="B3" s="82" t="str">
        <x:v>due_soon</x:v>
      </x:c>
      <x:c r="C3" s="82" t="str">
        <x:v>overdue</x:v>
      </x:c>
    </x:row>
    <x:row r="4">
      <x:c r="A4" s="88" t="str">
        <x:v>Омниканальный цифровой онбординг</x:v>
      </x:c>
      <x:c r="B4" s="88" t="n">
        <x:f>Task_Dashboard_Data!F4</x:f>
        <x:v>0</x:v>
      </x:c>
      <x:c r="C4" s="88" t="n">
        <x:f>Task_Dashboard_Data!G4</x:f>
        <x:v>0</x:v>
      </x:c>
    </x:row>
    <x:row r="5">
      <x:c r="A5" s="88" t="str">
        <x:v>Единый клиентский риск-профиль</x:v>
      </x:c>
      <x:c r="B5" s="88" t="n">
        <x:f>Task_Dashboard_Data!F5</x:f>
        <x:v>0</x:v>
      </x:c>
      <x:c r="C5" s="88" t="n">
        <x:f>Task_Dashboard_Data!G5</x:f>
        <x:v>0</x:v>
      </x:c>
    </x:row>
    <x:row r="6">
      <x:c r="A6" s="88" t="str">
        <x:v>AI PMO для программы трансформации</x:v>
      </x:c>
      <x:c r="B6" s="88" t="n">
        <x:f>Task_Dashboard_Data!F6</x:f>
        <x:v>0</x:v>
      </x:c>
      <x:c r="C6" s="88" t="n">
        <x:f>Task_Dashboard_Data!G6</x:f>
        <x:v>0</x:v>
      </x:c>
    </x:row>
    <x:row r="7">
      <x:c r="A7" s="88" t="str">
        <x:v>Цифровой конвейер корпоративного кредитования</x:v>
      </x:c>
      <x:c r="B7" s="88" t="n">
        <x:f>Task_Dashboard_Data!F7</x:f>
        <x:v>0</x:v>
      </x:c>
      <x:c r="C7" s="88" t="n">
        <x:f>Task_Dashboard_Data!G7</x:f>
        <x:v>0</x:v>
      </x:c>
    </x:row>
    <x:row r="8">
      <x:c r="A8" s="88" t="str">
        <x:v>Платформа качества мастер-данных</x:v>
      </x:c>
      <x:c r="B8" s="88" t="n">
        <x:f>Task_Dashboard_Data!F8</x:f>
        <x:v>0</x:v>
      </x:c>
      <x:c r="C8" s="88" t="n">
        <x:f>Task_Dashboard_Data!G8</x:f>
        <x:v>0</x:v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77" t="str">
        <x:v>Определения показателей дашборда.</x:v>
      </x:c>
      <x:c r="B1" s="77"/>
    </x:row>
    <x:row r="3" ht="34" customHeight="1">
      <x:c r="A3" s="82" t="str">
        <x:v>metric</x:v>
      </x:c>
      <x:c r="B3" s="82" t="str">
        <x:v>definition</x:v>
      </x:c>
    </x:row>
    <x:row r="4">
      <x:c r="A4" s="88" t="str">
        <x:v>total_tasks</x:v>
      </x:c>
      <x:c r="B4" s="88" t="str">
        <x:v>Все зарегистрированные поручения</x:v>
      </x:c>
    </x:row>
    <x:row r="5">
      <x:c r="A5" s="88" t="str">
        <x:v>active_tasks</x:v>
      </x:c>
      <x:c r="B5" s="88" t="str">
        <x:v>Все задачи, кроме Closed и Cancelled</x:v>
      </x:c>
    </x:row>
    <x:row r="6">
      <x:c r="A6" s="88" t="str">
        <x:v>due_soon</x:v>
      </x:c>
      <x:c r="B6" s="88" t="str">
        <x:v>Срок в пределах reminder_window_days</x:v>
      </x:c>
    </x:row>
    <x:row r="7">
      <x:c r="A7" s="88" t="str">
        <x:v>overdue</x:v>
      </x:c>
      <x:c r="B7" s="88" t="str">
        <x:v>Срок прошёл, задача не закрыта</x:v>
      </x:c>
    </x:row>
    <x:row r="8">
      <x:c r="A8" s="88" t="str">
        <x:v>validating</x:v>
      </x:c>
      <x:c r="B8" s="88" t="str">
        <x:v>Результат проверяется SK-13</x:v>
      </x:c>
    </x:row>
    <x:row r="9">
      <x:c r="A9" s="88" t="str">
        <x:v>rework_required</x:v>
      </x:c>
      <x:c r="B9" s="88" t="str">
        <x:v>Результат возвращён исполнителю</x:v>
      </x:c>
    </x:row>
    <x:row r="10">
      <x:c r="A10" s="88" t="str">
        <x:v>closed</x:v>
      </x:c>
      <x:c r="B10" s="88" t="str">
        <x:v>Accepted и автоматически закрытые поручения</x:v>
      </x:c>
    </x:row>
  </x:sheetData>
  <x:mergeCells>
    <x:mergeCell ref="A1:B1"/>
  </x:mergeCells>
  <x:pageMargins left="0.7" right="0.7" top="0.75" bottom="0.75" header="0.3" footer="0.3"/>
</x:worksheet>
</file>